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uyingxie/Dropbox (ValdarLab)/FARDEEP_Manuscript/Figure5/Normal_tonsil/"/>
    </mc:Choice>
  </mc:AlternateContent>
  <xr:revisionPtr revIDLastSave="0" documentId="10_ncr:8140008_{74AED693-3BFE-9149-B58F-F2C546364944}" xr6:coauthVersionLast="32" xr6:coauthVersionMax="32" xr10:uidLastSave="{00000000-0000-0000-0000-000000000000}"/>
  <bookViews>
    <workbookView xWindow="500" yWindow="8880" windowWidth="29000" windowHeight="16460"/>
  </bookViews>
  <sheets>
    <sheet name="tonsil_result" sheetId="1" r:id="rId1"/>
  </sheets>
  <calcPr calcId="162913"/>
</workbook>
</file>

<file path=xl/calcChain.xml><?xml version="1.0" encoding="utf-8"?>
<calcChain xmlns="http://schemas.openxmlformats.org/spreadsheetml/2006/main">
  <c r="K5" i="1" l="1"/>
  <c r="I5" i="1"/>
  <c r="G5" i="1"/>
  <c r="E5" i="1"/>
  <c r="C5" i="1"/>
  <c r="U6" i="1"/>
  <c r="U5" i="1"/>
  <c r="S5" i="1"/>
  <c r="Q5" i="1"/>
  <c r="O5" i="1"/>
  <c r="M5" i="1"/>
  <c r="L6" i="1"/>
</calcChain>
</file>

<file path=xl/sharedStrings.xml><?xml version="1.0" encoding="utf-8"?>
<sst xmlns="http://schemas.openxmlformats.org/spreadsheetml/2006/main" count="27" uniqueCount="27">
  <si>
    <t>cell</t>
  </si>
  <si>
    <t>meth</t>
  </si>
  <si>
    <t>Proportion</t>
  </si>
  <si>
    <t>Sample</t>
  </si>
  <si>
    <t>Other</t>
  </si>
  <si>
    <t>B cell</t>
  </si>
  <si>
    <t>T Cell</t>
  </si>
  <si>
    <t>B1(CIBERSORT)</t>
  </si>
  <si>
    <t>B1(FARDEEP)</t>
  </si>
  <si>
    <t>B3(FARDEEP)</t>
  </si>
  <si>
    <t>B4(FARDEEP)</t>
  </si>
  <si>
    <t>B5(FARDEEP)</t>
  </si>
  <si>
    <t>B6(FARDEEP)</t>
  </si>
  <si>
    <t>T1(FARDEE)</t>
  </si>
  <si>
    <t>T4(FARDEE)</t>
  </si>
  <si>
    <t>T3(FARDEE)</t>
  </si>
  <si>
    <t>T5(FARDEE)</t>
  </si>
  <si>
    <t>T6(FARDEE)</t>
  </si>
  <si>
    <t>B3(CIBERSORT)</t>
  </si>
  <si>
    <t>B4(CIBERSORT)</t>
  </si>
  <si>
    <t>B6(CIBERSORT)</t>
  </si>
  <si>
    <t>T1(CIBERSORT)</t>
  </si>
  <si>
    <t>T5(CIBERSORT)</t>
  </si>
  <si>
    <t>T6(CIBERSORT)</t>
  </si>
  <si>
    <t>B5(COBERSORT)</t>
  </si>
  <si>
    <t>T3(CIBERSORT)</t>
  </si>
  <si>
    <t>T4(CIBERSORT)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</si>
</sst>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tabSelected="1" workbookViewId="0">
      <selection activeCell="U6" sqref="U6"/>
    </sheetView>
  </sheetViews>
  <sheetFormatPr baseColWidth="10" defaultRowHeight="16" x14ac:dyDescent="0.2"/>
  <cols>
    <col min="2" max="2" width="12.1640625" bestFit="1" customWidth="1"/>
    <col min="3" max="3" width="10.83203125" style="1"/>
    <col min="5" max="5" width="10.83203125" style="1"/>
    <col min="7" max="7" width="10.83203125" style="1"/>
    <col min="9" max="9" width="10.83203125" style="1"/>
    <col min="11" max="11" width="10.83203125" style="1"/>
    <col min="13" max="13" width="10.83203125" style="1"/>
    <col min="15" max="15" width="10.83203125" style="1"/>
    <col min="17" max="17" width="10.83203125" style="1"/>
    <col min="19" max="19" width="10.83203125" style="1"/>
    <col min="21" max="21" width="10.83203125" style="1"/>
  </cols>
  <sheetData>
    <row r="1" spans="1:21" x14ac:dyDescent="0.2">
      <c r="A1" t="s">
        <v>3</v>
      </c>
      <c r="B1" t="s">
        <v>8</v>
      </c>
      <c r="C1" s="1" t="s">
        <v>7</v>
      </c>
      <c r="D1" t="s">
        <v>9</v>
      </c>
      <c r="E1" s="1" t="s">
        <v>18</v>
      </c>
      <c r="F1" t="s">
        <v>10</v>
      </c>
      <c r="G1" s="1" t="s">
        <v>19</v>
      </c>
      <c r="H1" t="s">
        <v>11</v>
      </c>
      <c r="I1" s="1" t="s">
        <v>24</v>
      </c>
      <c r="J1" t="s">
        <v>12</v>
      </c>
      <c r="K1" s="1" t="s">
        <v>20</v>
      </c>
      <c r="L1" t="s">
        <v>13</v>
      </c>
      <c r="M1" s="1" t="s">
        <v>21</v>
      </c>
      <c r="N1" t="s">
        <v>15</v>
      </c>
      <c r="O1" s="1" t="s">
        <v>25</v>
      </c>
      <c r="P1" t="s">
        <v>14</v>
      </c>
      <c r="Q1" s="1" t="s">
        <v>26</v>
      </c>
      <c r="R1" t="s">
        <v>16</v>
      </c>
      <c r="S1" s="1" t="s">
        <v>22</v>
      </c>
      <c r="T1" t="s">
        <v>17</v>
      </c>
      <c r="U1" s="1" t="s">
        <v>23</v>
      </c>
    </row>
    <row r="2" spans="1:21" x14ac:dyDescent="0.2">
      <c r="A2" t="s">
        <v>5</v>
      </c>
      <c r="B2">
        <v>0.86231243191788998</v>
      </c>
      <c r="C2" s="1">
        <v>0.65245314428113799</v>
      </c>
      <c r="D2">
        <v>0.94476200272673605</v>
      </c>
      <c r="E2" s="1">
        <v>0.76950777553601002</v>
      </c>
      <c r="F2">
        <v>0.94578769893018999</v>
      </c>
      <c r="G2" s="1">
        <v>0.76868043248286</v>
      </c>
      <c r="H2">
        <v>0.69475246618736097</v>
      </c>
      <c r="I2" s="1">
        <v>0.55241751918616999</v>
      </c>
      <c r="J2">
        <v>0.93823287764964003</v>
      </c>
      <c r="K2" s="1">
        <v>0.84887859214884998</v>
      </c>
      <c r="L2">
        <v>0</v>
      </c>
      <c r="M2" s="1">
        <v>8.2792763210055992E-3</v>
      </c>
      <c r="N2">
        <v>0</v>
      </c>
      <c r="O2" s="1">
        <v>7.8715831435544007E-3</v>
      </c>
      <c r="P2">
        <v>0</v>
      </c>
      <c r="Q2" s="1">
        <v>1.1665849372713E-2</v>
      </c>
      <c r="R2">
        <v>0</v>
      </c>
      <c r="S2" s="1">
        <v>2.6462384472724001E-3</v>
      </c>
      <c r="T2">
        <v>0</v>
      </c>
      <c r="U2" s="1">
        <v>8.2210812535611997E-3</v>
      </c>
    </row>
    <row r="3" spans="1:21" x14ac:dyDescent="0.2">
      <c r="A3" t="s">
        <v>6</v>
      </c>
      <c r="B3">
        <v>0</v>
      </c>
      <c r="C3" s="1">
        <v>5.3590170240149997E-2</v>
      </c>
      <c r="D3">
        <v>0</v>
      </c>
      <c r="E3" s="1">
        <v>7.7932164161531994E-2</v>
      </c>
      <c r="F3">
        <v>1.51405289929181E-3</v>
      </c>
      <c r="G3" s="1">
        <v>4.2456659018715398E-2</v>
      </c>
      <c r="H3">
        <v>0</v>
      </c>
      <c r="I3" s="1">
        <v>5.3182682318446001E-2</v>
      </c>
      <c r="J3">
        <v>0</v>
      </c>
      <c r="K3" s="1">
        <v>6.7906112595811002E-2</v>
      </c>
      <c r="L3">
        <v>0.99012808323800305</v>
      </c>
      <c r="M3" s="1">
        <v>0.93585025812154099</v>
      </c>
      <c r="N3">
        <v>0.96963849480478403</v>
      </c>
      <c r="O3" s="1">
        <v>0.91522067934315299</v>
      </c>
      <c r="P3">
        <v>0.979542540581118</v>
      </c>
      <c r="Q3" s="1">
        <v>0.96327191649313704</v>
      </c>
      <c r="R3">
        <v>0.92111090981896004</v>
      </c>
      <c r="S3" s="1">
        <v>0.92020746169063194</v>
      </c>
      <c r="T3">
        <v>0.96682847490305301</v>
      </c>
      <c r="U3" s="1">
        <v>0.93863768617329701</v>
      </c>
    </row>
    <row r="4" spans="1:21" x14ac:dyDescent="0.2">
      <c r="A4" t="s">
        <v>4</v>
      </c>
      <c r="B4">
        <v>0.13768756808211</v>
      </c>
      <c r="C4" s="1">
        <v>0.29395668547870102</v>
      </c>
      <c r="D4">
        <v>5.5237997273264297E-2</v>
      </c>
      <c r="E4" s="1">
        <v>0.152560060302459</v>
      </c>
      <c r="F4">
        <v>5.2698248170517999E-2</v>
      </c>
      <c r="G4" s="1">
        <v>0.18886290849842299</v>
      </c>
      <c r="H4">
        <v>0.30524753381263903</v>
      </c>
      <c r="I4" s="1">
        <v>0.39439979849538098</v>
      </c>
      <c r="J4">
        <v>6.1767122350359797E-2</v>
      </c>
      <c r="K4" s="1">
        <v>8.3220195278772197E-2</v>
      </c>
      <c r="L4">
        <v>9.8719167619967293E-3</v>
      </c>
      <c r="M4" s="1">
        <v>5.5835324299500597E-2</v>
      </c>
      <c r="N4">
        <v>3.0361505195215601E-2</v>
      </c>
      <c r="O4" s="1">
        <v>7.6907737513297394E-2</v>
      </c>
      <c r="P4">
        <v>2.0457459418881899E-2</v>
      </c>
      <c r="Q4" s="1">
        <v>2.50870991172732E-2</v>
      </c>
      <c r="R4">
        <v>7.8889090181039706E-2</v>
      </c>
      <c r="S4" s="1">
        <v>7.7177022704401896E-2</v>
      </c>
      <c r="T4">
        <v>3.3171525096947298E-2</v>
      </c>
      <c r="U4" s="1">
        <v>5.3116497353616801E-2</v>
      </c>
    </row>
    <row r="5" spans="1:21" x14ac:dyDescent="0.2">
      <c r="A5" t="s">
        <v>0</v>
      </c>
      <c r="C5" s="1">
        <f>1 - (1-B2)/(1-C2)</f>
        <v>0.6038302006866999</v>
      </c>
      <c r="E5" s="1">
        <f>1 - (1-D2)/(1-E2)</f>
        <v>0.76034767592824448</v>
      </c>
      <c r="G5" s="1">
        <f>1 - (1-F2)/(1-G2)</f>
        <v>0.76563893123398197</v>
      </c>
      <c r="I5" s="1">
        <f>1 - (1-H2)/(1-I2)</f>
        <v>0.31800830707758332</v>
      </c>
      <c r="K5" s="1">
        <f>1 - (1-J2)/(1-K2)</f>
        <v>0.59127483505713041</v>
      </c>
      <c r="M5" s="1">
        <f>1 - (1-L3)/(1-M3)</f>
        <v>0.84611135644628588</v>
      </c>
      <c r="O5" s="1">
        <f>1 - (1-N3)/(1-O3)</f>
        <v>0.64187604996143732</v>
      </c>
      <c r="Q5" s="1">
        <f>1 - (1-P3)/(1-Q3)</f>
        <v>0.44300226242245011</v>
      </c>
      <c r="S5" s="1">
        <f>1 - (1-R3)/(1-S3)</f>
        <v>1.1322463822685869E-2</v>
      </c>
      <c r="U5" s="1">
        <f>1 - (1-T3)/(1-U3)</f>
        <v>0.45941534749441337</v>
      </c>
    </row>
    <row r="6" spans="1:21" x14ac:dyDescent="0.2">
      <c r="A6" t="s">
        <v>1</v>
      </c>
      <c r="L6">
        <f>AVERAGE(C5,E5,G5,I5,K5)</f>
        <v>0.60781998999672804</v>
      </c>
      <c r="U6">
        <f>AVERAGE(M5,O5,Q5,S5,U5)</f>
        <v>0.48034549602945448</v>
      </c>
    </row>
    <row r="7" spans="1:21" x14ac:dyDescent="0.2">
      <c r="A7" t="s">
        <v>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tonsil_result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yuying xie</dc:creator>
  <cp:lastModifiedBy>yuying xie</cp:lastModifiedBy>
  <dcterms:created xsi:type="dcterms:W3CDTF">2018-05-29T15:01:48Z</dcterms:created>
  <dcterms:modified xsi:type="dcterms:W3CDTF">2018-05-29T15:25:16Z</dcterms:modified>
</cp:coreProperties>
</file>